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cel-Project\"/>
    </mc:Choice>
  </mc:AlternateContent>
  <xr:revisionPtr revIDLastSave="0" documentId="8_{B6CB9E9F-28F9-46B4-AA56-CA8F64707C35}" xr6:coauthVersionLast="47" xr6:coauthVersionMax="47" xr10:uidLastSave="{00000000-0000-0000-0000-000000000000}"/>
  <bookViews>
    <workbookView xWindow="-120" yWindow="-120" windowWidth="20640" windowHeight="11040" xr2:uid="{CB76A837-E33C-4106-BD66-259E710A4DC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3" i="1" l="1"/>
  <c r="G24" i="1"/>
  <c r="G25" i="1"/>
  <c r="G26" i="1"/>
  <c r="G22" i="1"/>
  <c r="H22" i="1" s="1"/>
  <c r="G8" i="1"/>
  <c r="G9" i="1"/>
  <c r="G10" i="1"/>
  <c r="G11" i="1"/>
  <c r="G12" i="1"/>
  <c r="G7" i="1"/>
  <c r="F8" i="1"/>
  <c r="F9" i="1"/>
  <c r="F10" i="1"/>
  <c r="F11" i="1"/>
  <c r="F12" i="1"/>
  <c r="F7" i="1"/>
</calcChain>
</file>

<file path=xl/sharedStrings.xml><?xml version="1.0" encoding="utf-8"?>
<sst xmlns="http://schemas.openxmlformats.org/spreadsheetml/2006/main" count="41" uniqueCount="39">
  <si>
    <t>Controle de contas a PAGAR</t>
  </si>
  <si>
    <t>Fornecedor</t>
  </si>
  <si>
    <t>Descrição</t>
  </si>
  <si>
    <t>Data de Vencimento</t>
  </si>
  <si>
    <t>Data de Pagamento</t>
  </si>
  <si>
    <t>Valor (R$)</t>
  </si>
  <si>
    <t>Empresa de Internet</t>
  </si>
  <si>
    <t>Plano mensal</t>
  </si>
  <si>
    <t>Energia Elétrica</t>
  </si>
  <si>
    <t>Conta de luz</t>
  </si>
  <si>
    <t>Fornecedor ABC</t>
  </si>
  <si>
    <t>Matéria-prima</t>
  </si>
  <si>
    <t>Empresa de Limpeza</t>
  </si>
  <si>
    <t>Serviço mensal</t>
  </si>
  <si>
    <t>Água e Saneamento</t>
  </si>
  <si>
    <t>Conta de água</t>
  </si>
  <si>
    <t>Fornecedor XYZ</t>
  </si>
  <si>
    <t>Material de escritório</t>
  </si>
  <si>
    <t>Status</t>
  </si>
  <si>
    <t>Dias de Atraso</t>
  </si>
  <si>
    <t>Descrição: Crie fórmulas para organizar contas a pagar da semana| Status | Dias de Atraso</t>
  </si>
  <si>
    <t>Controle de Contas a Receber</t>
  </si>
  <si>
    <t>Cliente</t>
  </si>
  <si>
    <t>Produto</t>
  </si>
  <si>
    <t>Data da Venda</t>
  </si>
  <si>
    <t>Vencimento</t>
  </si>
  <si>
    <t>Data do Pagamento</t>
  </si>
  <si>
    <t>Mercado Bom Preço</t>
  </si>
  <si>
    <t>50 caixas de leite</t>
  </si>
  <si>
    <t>Padaria Central</t>
  </si>
  <si>
    <t>30 sacos de farinha</t>
  </si>
  <si>
    <t>Restaurante Sabor Caseiro</t>
  </si>
  <si>
    <t>20 kg carne</t>
  </si>
  <si>
    <t>Mercado Econômico</t>
  </si>
  <si>
    <t>40 caixas de ovos</t>
  </si>
  <si>
    <t>Lanchonete do João</t>
  </si>
  <si>
    <t>100 refrigerantes</t>
  </si>
  <si>
    <t>Descrição: Crie fórmulas para organizar vendas da empresa e verificar quais clientes pagou ou estão em atraso | Status | Valor total recebido | Condição: pago, atraso, em aberto</t>
  </si>
  <si>
    <t>Valor Total recebido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</si>
</sst>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9.9978637043366805E-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44" fontId="0" fillId="0" borderId="1" xfId="1" applyFont="1" applyBorder="1" applyAlignment="1">
      <alignment horizontal="center"/>
    </xf>
    <xf numFmtId="0" fontId="0" fillId="0" borderId="1" xfId="0" applyBorder="1"/>
    <xf numFmtId="44" fontId="0" fillId="0" borderId="1" xfId="1" applyFont="1" applyBorder="1"/>
  </cellXfs>
  <cellStyles count="2">
    <cellStyle name="Moeda" xfId="1" builtinId="4"/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A276E-D480-44D4-9D24-A0CD6F8F9ED6}">
  <dimension ref="A1:J26"/>
  <sheetViews>
    <sheetView showFormulas="1" tabSelected="1" topLeftCell="C4" zoomScale="90" zoomScaleNormal="90" workbookViewId="0">
      <selection activeCell="H25" sqref="H25"/>
    </sheetView>
  </sheetViews>
  <sheetFormatPr defaultRowHeight="15" x14ac:dyDescent="0.25"/>
  <cols>
    <col min="1" max="1" width="23.85546875" customWidth="1"/>
    <col min="2" max="10" width="20.7109375" customWidth="1"/>
  </cols>
  <sheetData>
    <row r="1" spans="1:10" x14ac:dyDescent="0.25">
      <c r="A1" s="1"/>
      <c r="B1" s="1"/>
      <c r="C1" s="7" t="s">
        <v>0</v>
      </c>
      <c r="D1" s="7"/>
      <c r="E1" s="7"/>
      <c r="F1" s="7"/>
      <c r="G1" s="7"/>
      <c r="H1" s="1"/>
      <c r="I1" s="1"/>
      <c r="J1" s="1"/>
    </row>
    <row r="2" spans="1:10" x14ac:dyDescent="0.25">
      <c r="A2" s="1"/>
      <c r="B2" s="1"/>
      <c r="C2" s="7"/>
      <c r="D2" s="7"/>
      <c r="E2" s="7"/>
      <c r="F2" s="7"/>
      <c r="G2" s="7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6" t="s">
        <v>20</v>
      </c>
      <c r="B4" s="6"/>
      <c r="C4" s="6"/>
      <c r="D4" s="6"/>
      <c r="E4" s="6"/>
      <c r="F4" s="6"/>
      <c r="G4" s="6"/>
      <c r="H4" s="6"/>
      <c r="I4" s="6"/>
      <c r="J4" s="6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25">
      <c r="A6" s="2" t="s">
        <v>1</v>
      </c>
      <c r="B6" s="2" t="s">
        <v>2</v>
      </c>
      <c r="C6" s="2" t="s">
        <v>3</v>
      </c>
      <c r="D6" s="2" t="s">
        <v>4</v>
      </c>
      <c r="E6" s="2" t="s">
        <v>5</v>
      </c>
      <c r="F6" s="3" t="s">
        <v>18</v>
      </c>
      <c r="G6" s="3" t="s">
        <v>19</v>
      </c>
      <c r="H6" s="1"/>
      <c r="I6" s="1"/>
      <c r="J6" s="1"/>
    </row>
    <row r="7" spans="1:10" x14ac:dyDescent="0.25">
      <c r="A7" s="4" t="s">
        <v>6</v>
      </c>
      <c r="B7" s="4" t="s">
        <v>7</v>
      </c>
      <c r="C7" s="5">
        <v>46086</v>
      </c>
      <c r="D7" s="5">
        <v>46086</v>
      </c>
      <c r="E7" s="4">
        <v>120</v>
      </c>
      <c r="F7" s="4" t="str">
        <f>IF(D7&lt;&gt;"","Pago","Pendente")</f>
        <v>Pago</v>
      </c>
      <c r="G7" s="4" t="str">
        <f ca="1">IF(AND(D7="",C7&lt;TODAY()),TODAY()-C7,"Sem atraso")</f>
        <v>Sem atraso</v>
      </c>
      <c r="H7" s="1"/>
      <c r="I7" s="1"/>
      <c r="J7" s="1"/>
    </row>
    <row r="8" spans="1:10" x14ac:dyDescent="0.25">
      <c r="A8" s="4" t="s">
        <v>8</v>
      </c>
      <c r="B8" s="4" t="s">
        <v>9</v>
      </c>
      <c r="C8" s="5">
        <v>46089</v>
      </c>
      <c r="D8" s="4"/>
      <c r="E8" s="4">
        <v>540</v>
      </c>
      <c r="F8" s="4" t="str">
        <f t="shared" ref="F8:F12" si="0">IF(D8&lt;&gt;"","Pago","Pendente")</f>
        <v>Pendente</v>
      </c>
      <c r="G8" s="4">
        <f t="shared" ref="G8:G12" ca="1" si="1">IF(AND(D8="",C8&lt;TODAY()),TODAY()-C8,"Sem atraso")</f>
        <v>3</v>
      </c>
      <c r="H8" s="1"/>
      <c r="I8" s="1"/>
      <c r="J8" s="1"/>
    </row>
    <row r="9" spans="1:10" x14ac:dyDescent="0.25">
      <c r="A9" s="4" t="s">
        <v>10</v>
      </c>
      <c r="B9" s="4" t="s">
        <v>11</v>
      </c>
      <c r="C9" s="5">
        <v>46088</v>
      </c>
      <c r="D9" s="5">
        <v>46088</v>
      </c>
      <c r="E9" s="4">
        <v>1250</v>
      </c>
      <c r="F9" s="4" t="str">
        <f t="shared" si="0"/>
        <v>Pago</v>
      </c>
      <c r="G9" s="4" t="str">
        <f t="shared" ca="1" si="1"/>
        <v>Sem atraso</v>
      </c>
      <c r="H9" s="1"/>
      <c r="I9" s="1"/>
      <c r="J9" s="1"/>
    </row>
    <row r="10" spans="1:10" x14ac:dyDescent="0.25">
      <c r="A10" s="4" t="s">
        <v>12</v>
      </c>
      <c r="B10" s="4" t="s">
        <v>13</v>
      </c>
      <c r="C10" s="5">
        <v>46091</v>
      </c>
      <c r="D10" s="4"/>
      <c r="E10" s="4">
        <v>350</v>
      </c>
      <c r="F10" s="4" t="str">
        <f t="shared" si="0"/>
        <v>Pendente</v>
      </c>
      <c r="G10" s="4">
        <f t="shared" ca="1" si="1"/>
        <v>1</v>
      </c>
      <c r="H10" s="1"/>
      <c r="I10" s="1"/>
      <c r="J10" s="1"/>
    </row>
    <row r="11" spans="1:10" x14ac:dyDescent="0.25">
      <c r="A11" s="4" t="s">
        <v>14</v>
      </c>
      <c r="B11" s="4" t="s">
        <v>15</v>
      </c>
      <c r="C11" s="5">
        <v>46090</v>
      </c>
      <c r="D11" s="5">
        <v>46090</v>
      </c>
      <c r="E11" s="4">
        <v>210</v>
      </c>
      <c r="F11" s="4" t="str">
        <f t="shared" si="0"/>
        <v>Pago</v>
      </c>
      <c r="G11" s="4" t="str">
        <f t="shared" ca="1" si="1"/>
        <v>Sem atraso</v>
      </c>
      <c r="H11" s="1"/>
      <c r="I11" s="1"/>
      <c r="J11" s="1"/>
    </row>
    <row r="12" spans="1:10" x14ac:dyDescent="0.25">
      <c r="A12" s="4" t="s">
        <v>16</v>
      </c>
      <c r="B12" s="4" t="s">
        <v>17</v>
      </c>
      <c r="C12" s="5">
        <v>46092</v>
      </c>
      <c r="D12" s="4"/>
      <c r="E12" s="4">
        <v>420</v>
      </c>
      <c r="F12" s="4" t="str">
        <f t="shared" si="0"/>
        <v>Pendente</v>
      </c>
      <c r="G12" s="4" t="str">
        <f t="shared" ca="1" si="1"/>
        <v>Sem atraso</v>
      </c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s="8" customFormat="1" x14ac:dyDescent="0.25"/>
    <row r="16" spans="1:10" x14ac:dyDescent="0.25">
      <c r="C16" s="7" t="s">
        <v>21</v>
      </c>
      <c r="D16" s="7"/>
      <c r="E16" s="7"/>
    </row>
    <row r="17" spans="1:8" x14ac:dyDescent="0.25">
      <c r="C17" s="7"/>
      <c r="D17" s="7"/>
      <c r="E17" s="7"/>
    </row>
    <row r="19" spans="1:8" x14ac:dyDescent="0.25">
      <c r="A19" s="6" t="s">
        <v>37</v>
      </c>
      <c r="B19" s="6"/>
      <c r="C19" s="6"/>
      <c r="D19" s="6"/>
      <c r="E19" s="6"/>
      <c r="F19" s="6"/>
      <c r="G19" s="6"/>
      <c r="H19" s="6"/>
    </row>
    <row r="21" spans="1:8" x14ac:dyDescent="0.25">
      <c r="A21" s="2" t="s">
        <v>22</v>
      </c>
      <c r="B21" s="2" t="s">
        <v>23</v>
      </c>
      <c r="C21" s="2" t="s">
        <v>24</v>
      </c>
      <c r="D21" s="2" t="s">
        <v>25</v>
      </c>
      <c r="E21" s="2" t="s">
        <v>26</v>
      </c>
      <c r="F21" s="2" t="s">
        <v>5</v>
      </c>
      <c r="G21" s="3" t="s">
        <v>18</v>
      </c>
      <c r="H21" s="3" t="s">
        <v>38</v>
      </c>
    </row>
    <row r="22" spans="1:8" x14ac:dyDescent="0.25">
      <c r="A22" s="4" t="s">
        <v>27</v>
      </c>
      <c r="B22" s="4" t="s">
        <v>28</v>
      </c>
      <c r="C22" s="5">
        <v>46082</v>
      </c>
      <c r="D22" s="5">
        <v>46089</v>
      </c>
      <c r="E22" s="5">
        <v>46088</v>
      </c>
      <c r="F22" s="9">
        <v>950</v>
      </c>
      <c r="G22" s="10" t="str">
        <f ca="1">IF(E22&lt;&gt;"","Pago",IF(D22&lt;TODAY(),"Atraso","Em Aberto"))</f>
        <v>Pago</v>
      </c>
      <c r="H22" s="11">
        <f ca="1">SUMIF(G22:G26,"Pago",F22:F26)</f>
        <v>2150</v>
      </c>
    </row>
    <row r="23" spans="1:8" x14ac:dyDescent="0.25">
      <c r="A23" s="4" t="s">
        <v>29</v>
      </c>
      <c r="B23" s="4" t="s">
        <v>30</v>
      </c>
      <c r="C23" s="5">
        <v>46083</v>
      </c>
      <c r="D23" s="5">
        <v>46090</v>
      </c>
      <c r="E23" s="4"/>
      <c r="F23" s="9">
        <v>780</v>
      </c>
      <c r="G23" s="10" t="str">
        <f t="shared" ref="G23:G26" ca="1" si="2">IF(E23&lt;&gt;"","Pago",IF(D23&lt;TODAY(),"Atraso","Em Aberto"))</f>
        <v>Atraso</v>
      </c>
    </row>
    <row r="24" spans="1:8" x14ac:dyDescent="0.25">
      <c r="A24" s="4" t="s">
        <v>31</v>
      </c>
      <c r="B24" s="4" t="s">
        <v>32</v>
      </c>
      <c r="C24" s="5">
        <v>46084</v>
      </c>
      <c r="D24" s="5">
        <v>46091</v>
      </c>
      <c r="E24" s="5">
        <v>46091</v>
      </c>
      <c r="F24" s="9">
        <v>1200</v>
      </c>
      <c r="G24" s="10" t="str">
        <f t="shared" ca="1" si="2"/>
        <v>Pago</v>
      </c>
    </row>
    <row r="25" spans="1:8" x14ac:dyDescent="0.25">
      <c r="A25" s="4" t="s">
        <v>33</v>
      </c>
      <c r="B25" s="4" t="s">
        <v>34</v>
      </c>
      <c r="C25" s="5">
        <v>46085</v>
      </c>
      <c r="D25" s="5">
        <v>46092</v>
      </c>
      <c r="E25" s="4"/>
      <c r="F25" s="9">
        <v>650</v>
      </c>
      <c r="G25" s="10" t="str">
        <f t="shared" ca="1" si="2"/>
        <v>Em Aberto</v>
      </c>
    </row>
    <row r="26" spans="1:8" x14ac:dyDescent="0.25">
      <c r="A26" s="4" t="s">
        <v>35</v>
      </c>
      <c r="B26" s="4" t="s">
        <v>36</v>
      </c>
      <c r="C26" s="5">
        <v>46086</v>
      </c>
      <c r="D26" s="5">
        <v>46093</v>
      </c>
      <c r="E26" s="4"/>
      <c r="F26" s="9">
        <v>430</v>
      </c>
      <c r="G26" s="10" t="str">
        <f t="shared" ca="1" si="2"/>
        <v>Em Aberto</v>
      </c>
    </row>
  </sheetData>
  <mergeCells count="4">
    <mergeCell ref="C1:G2"/>
    <mergeCell ref="A4:J4"/>
    <mergeCell ref="C16:E17"/>
    <mergeCell ref="A19:H19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B4EB23DC-62A9-497E-B0C1-18653703B1D3}">
            <xm:f>NOT(ISERROR(SEARCH($F$10,F7)))</xm:f>
            <xm:f>$F$10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CA7B515D-20B9-452D-B719-31ED0F16B94C}">
            <xm:f>NOT(ISERROR(SEARCH($F$7,F7)))</xm:f>
            <xm:f>$F$7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F7:F12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Robson da Silva Gomes</dc:creator>
  <cp:lastModifiedBy>Robson da Silva Gomes</cp:lastModifiedBy>
  <dcterms:created xsi:type="dcterms:W3CDTF">2026-03-11T21:19:07Z</dcterms:created>
  <dcterms:modified xsi:type="dcterms:W3CDTF">2026-03-11T22:52:36Z</dcterms:modified>
</cp:coreProperties>
</file>